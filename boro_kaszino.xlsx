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iraly.gergely\cuccok\"/>
    </mc:Choice>
  </mc:AlternateContent>
  <xr:revisionPtr revIDLastSave="0" documentId="13_ncr:1_{B084BB2B-D18C-45DA-AEAA-6213B103C5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 Backlog" sheetId="1" r:id="rId1"/>
    <sheet name="Tábla és sprintterv" sheetId="2" r:id="rId2"/>
    <sheet name="Projektleírá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7" i="2" l="1"/>
  <c r="B16" i="2"/>
  <c r="B15" i="2"/>
  <c r="B14" i="2"/>
</calcChain>
</file>

<file path=xl/sharedStrings.xml><?xml version="1.0" encoding="utf-8"?>
<sst xmlns="http://schemas.openxmlformats.org/spreadsheetml/2006/main" count="326" uniqueCount="193">
  <si>
    <t>BORO KASZINÓ – PRODUCT BACKLOG</t>
  </si>
  <si>
    <t>Iskolai célú kaszinó-szimuláció kizárólag virtuális zsetonokkal; valódi pénzes befizetés, fogadás és kifizetés nélkül.</t>
  </si>
  <si>
    <t>ID</t>
  </si>
  <si>
    <t>Epic / főtéma</t>
  </si>
  <si>
    <t>Típus</t>
  </si>
  <si>
    <t>Feladat / User Story</t>
  </si>
  <si>
    <t>Leírás</t>
  </si>
  <si>
    <t>Prioritás (1–10)</t>
  </si>
  <si>
    <t>Elfogadási feltétel</t>
  </si>
  <si>
    <t>Sprint</t>
  </si>
  <si>
    <t>Állapot</t>
  </si>
  <si>
    <t>Felelős</t>
  </si>
  <si>
    <t>BKC-01</t>
  </si>
  <si>
    <t>Projektalapok és infrastruktúra</t>
  </si>
  <si>
    <t>Technikai feladat</t>
  </si>
  <si>
    <t>Git repository és csapatmunka beállítása</t>
  </si>
  <si>
    <t>Közös repository létrehozása, projektmappák és alapvető együttműködési szabályok beállítása.</t>
  </si>
  <si>
    <t>A csapattagok hozzáférnek a repositoryhoz; a projekt forráskódja verziókövetett; a README tartalmazza az alapvető indítási lépéseket.</t>
  </si>
  <si>
    <t>1. sprint</t>
  </si>
  <si>
    <t>Backlog</t>
  </si>
  <si>
    <t>Minden csapattag</t>
  </si>
  <si>
    <t>BKC-02</t>
  </si>
  <si>
    <t>Alkalmazás vázának és navigációjának elkészítése</t>
  </si>
  <si>
    <t>A főoldal, fejléc, menü és fő nézetek alapstruktúrájának kialakítása.</t>
  </si>
  <si>
    <t>A felhasználó el tud jutni a főoldalról a bejelentkezéshez és a játékok listájához; a menüpontok működnek.</t>
  </si>
  <si>
    <t>Frontend fejlesztő</t>
  </si>
  <si>
    <t>BKC-03</t>
  </si>
  <si>
    <t>Adatbázis és alap táblák létrehozása</t>
  </si>
  <si>
    <t>A felhasználók, zsetonegyenlegek, játékmenetek és eseménynaplók adatmodelljének megtervezése.</t>
  </si>
  <si>
    <t>Az adatbázis létrehozható; a fő táblák és kapcsolataik dokumentáltak; a migrációk vagy séma-leírás futtatható.</t>
  </si>
  <si>
    <t>Backend fejlesztő</t>
  </si>
  <si>
    <t>BKC-04</t>
  </si>
  <si>
    <t>Környezeti változók és konfiguráció beállítása</t>
  </si>
  <si>
    <t>Adatbázis-kapcsolat és fejlesztői beállítások kezelése környezeti változókkal.</t>
  </si>
  <si>
    <t>A konfiguráció nem tartalmaz éles titkokat a repositoryban; elérhető példa .env fájl; a hiányzó beállításról érthető hibaüzenet készül.</t>
  </si>
  <si>
    <t>BKC-05</t>
  </si>
  <si>
    <t>Felhasználókezelés és jogosultságok</t>
  </si>
  <si>
    <t>Users modell és felhasználói tábla</t>
  </si>
  <si>
    <t>A felhasználók azonosítójának, e-mail-címének, jelszóhashének, szerepkörének és létrehozási dátumának tárolása.</t>
  </si>
  <si>
    <t>Minden felhasználó egyedi azonosítót kap; az e-mail egyedi; jelszó sima szövegként nem kerül adatbázisba.</t>
  </si>
  <si>
    <t>BKC-06</t>
  </si>
  <si>
    <t>User Story</t>
  </si>
  <si>
    <t>Regisztráció</t>
  </si>
  <si>
    <t>Mint új látogató, szeretnék fiókot létrehozni e-mail-címmel és jelszóval, hogy menthető legyen a játékállapotom.</t>
  </si>
  <si>
    <t>Érvényes adatokkal létrejön a fiók; hibás mezőknél és foglalt e-mailnél a rendszer jelzi a hibát.</t>
  </si>
  <si>
    <t>Frontend + backend</t>
  </si>
  <si>
    <t>BKC-07</t>
  </si>
  <si>
    <t>Bejelentkezés</t>
  </si>
  <si>
    <t>Mint regisztrált játékos, szeretnék bejelentkezni, hogy elérjem a saját zsetonegyenlegemet és játékmeneteimet.</t>
  </si>
  <si>
    <t>Helyes adatokkal sikeres bejelentkezés történik; hibás adatokkal a védett funkciók nem érhetők el.</t>
  </si>
  <si>
    <t>BKC-08</t>
  </si>
  <si>
    <t>Kijelentkezés</t>
  </si>
  <si>
    <t>Mint bejelentkezett játékos, szeretnék biztonságosan kijelentkezni, hogy más ne használhassa a fiókomat.</t>
  </si>
  <si>
    <t>Kijelentkezés után a védett oldalak új hitelesítés nélkül nem érhetők el.</t>
  </si>
  <si>
    <t>2. sprint</t>
  </si>
  <si>
    <t>BKC-09</t>
  </si>
  <si>
    <t>API-végpontok és szerepkörök védelme</t>
  </si>
  <si>
    <t>Hitelesítési middleware és játékos/admin jogosultság-ellenőrzés bevezetése.</t>
  </si>
  <si>
    <t>A védett végpontok ellenőrzik a bejelentkezést; admin műveletet csak admin szerepkör végezhet; jogosulatlan kérés elutasításra kerül.</t>
  </si>
  <si>
    <t>BKC-10</t>
  </si>
  <si>
    <t>Saját profil megtekintése</t>
  </si>
  <si>
    <t>Mint játékos, szeretném látni a profiladataimat és a fiók létrehozásának dátumát, hogy ellenőrizhessem a fiókomat.</t>
  </si>
  <si>
    <t>A felhasználó saját profilját látja; más felhasználó adatai nem jelennek meg.</t>
  </si>
  <si>
    <t>BKC-11</t>
  </si>
  <si>
    <t>Virtuális zsetonrendszer</t>
  </si>
  <si>
    <t>Virtuális zsetonegyenleg létrehozása</t>
  </si>
  <si>
    <t>Minden új fiókhoz induló, kizárólag a szimulációban használható zsetonegyenleg hozzárendelése.</t>
  </si>
  <si>
    <t>Új játékos meghatározott kezdő zsetont kap; a zseton nem váltható valódi pénzre és nem vásárolható meg.</t>
  </si>
  <si>
    <t>BKC-12</t>
  </si>
  <si>
    <t>Zsetonmozgások naplózása</t>
  </si>
  <si>
    <t>A játékok előtti tétlevonás, nyereményjóváírás és adminisztratív korrekció rögzítése.</t>
  </si>
  <si>
    <t>Minden egyenlegváltozásnál tárolódik az esemény típusa, értéke és időpontja; korábbi naplóbejegyzés nem írható át a normál felületről.</t>
  </si>
  <si>
    <t>BKC-13</t>
  </si>
  <si>
    <t>Egyenleg és tét ellenőrzése</t>
  </si>
  <si>
    <t>Szerveroldali ellenőrzések készítése, hogy a tét pozitív legyen és ne haladja meg az elérhető zsetonokat.</t>
  </si>
  <si>
    <t>Nulla vagy negatív tét nem fogadható el; elégtelen egyenleggel nem indul játék; az egyenleg nem mehet mínuszba.</t>
  </si>
  <si>
    <t>BKC-14</t>
  </si>
  <si>
    <t>Egyenleg és játékelőzmények megtekintése</t>
  </si>
  <si>
    <t>Mint játékos, szeretném látni a zsetonegyenlegemet és a korábbi köreimet, hogy követni tudjam a szimulációs eredményeimet.</t>
  </si>
  <si>
    <t>Megjelenik az aktuális virtuális zsetonegyenleg és a legutóbbi játékmenetek listája; más játékos előzményei rejtve maradnak.</t>
  </si>
  <si>
    <t>BKC-15</t>
  </si>
  <si>
    <t>Napi gyakorló zseton igénylése</t>
  </si>
  <si>
    <t>Mint játékos, szeretnék naponta korlátozott mennyiségű ingyenes gyakorló zsetont kapni, hogy a játékokat pénzügyi kockázat nélkül kipróbálhassam.</t>
  </si>
  <si>
    <t>A funkció naponta legfeljebb egyszer használható; a jóváírás naplózódik; nincs valódi pénzes tranzakció.</t>
  </si>
  <si>
    <t>3. sprint</t>
  </si>
  <si>
    <t>BKC-16</t>
  </si>
  <si>
    <t>Játékok és szimuláció</t>
  </si>
  <si>
    <t>Játékok katalógusának megtekintése</t>
  </si>
  <si>
    <t>Mint játékos, szeretném látni az elérhető szimulációs játékokat és rövid szabályaikat, hogy kiválaszthassam, mivel játszom.</t>
  </si>
  <si>
    <t>A katalógus megjeleníti a játék nevét, rövid leírását és szabályait; csak engedélyezett játék indítható.</t>
  </si>
  <si>
    <t>BKC-17</t>
  </si>
  <si>
    <t>Közös játékmenet-kezelő API kialakítása</t>
  </si>
  <si>
    <t>Olyan backend logika készítése, amely egységesen kezeli a tét validálását, a kör indítását és az eredmény mentését.</t>
  </si>
  <si>
    <t>Minden játék ugyanazt az ellenőrzött folyamatot használja; az eredmény és zsetonváltozás egymáshoz illeszkedve mentődik.</t>
  </si>
  <si>
    <t>BKC-18</t>
  </si>
  <si>
    <t>Rulett szimuláció kipróbálása</t>
  </si>
  <si>
    <t>Mint játékos, szeretnék virtuális rulettkört indítani, hogy megismerjem a játék logikáját és a véletlen kimenetel működését.</t>
  </si>
  <si>
    <t>A képernyőn látszik a tét, a szimulált eredmény és a zsetonváltozás; a szabályok előre olvashatók; valódi pénz nincs használatban.</t>
  </si>
  <si>
    <t>BKC-19</t>
  </si>
  <si>
    <t>Kockadobásos játék kipróbálása</t>
  </si>
  <si>
    <t>Mint játékos, szeretnék virtuális kockadobásos játékot indítani, hogy egyszerű szabályokkal teszteljem a szimulációt.</t>
  </si>
  <si>
    <t>A rendszer megjeleníti a dobás eredményét, a szabály szerinti kimenetelt és az egyenleg változását.</t>
  </si>
  <si>
    <t>BKC-20</t>
  </si>
  <si>
    <t>Magasabb vagy alacsonyabb játék kipróbálása</t>
  </si>
  <si>
    <t>Mint játékos, szeretnék egy egyszerű magasabb/alacsonyabb kártya-szimulációval játszani, hogy teszteljem a döntés és eredmény kapcsolatát.</t>
  </si>
  <si>
    <t>A játék véletlenszerű lapot mutat; a játékos tippje után látható az eredmény; az egyenleg a dokumentált szabály szerint változik.</t>
  </si>
  <si>
    <t>BKC-21</t>
  </si>
  <si>
    <t>Véletlen eredmény és kifizetési szabályok tesztelése</t>
  </si>
  <si>
    <t>A szimuláció véletlen kimeneteleinek és előre dokumentált virtuális pontszabályainak ellenőrzése.</t>
  </si>
  <si>
    <t>A szabályok a felületen olvashatók; a kliens nem tudja meghamisítani a szerver által elfogadott eredményt; a tesztesetek lefedik a fő kimeneteleket.</t>
  </si>
  <si>
    <t>Backend fejlesztő + tesztelő</t>
  </si>
  <si>
    <t>BKC-22</t>
  </si>
  <si>
    <t>Játék eredményének visszajelzése</t>
  </si>
  <si>
    <t>Mint játékos, szeretném egyértelműen látni, hogy nyertem vagy vesztettem-e a körben, és hogyan változott a zsetonegyenlegem.</t>
  </si>
  <si>
    <t>Minden befejezett kör után látszik a kimenetel, az előző és új egyenleg, valamint a tét.</t>
  </si>
  <si>
    <t>BKC-23</t>
  </si>
  <si>
    <t>Adminisztráció és felügyelet</t>
  </si>
  <si>
    <t>Admin felület megnyitása jogosultsággal</t>
  </si>
  <si>
    <t>Mint adminisztrátor, szeretném elérni a kezelőfelületet, hogy felügyeljem a tesztrendszer működését.</t>
  </si>
  <si>
    <t>Az admin felület kizárólag admin szerepkörrel érhető el; jogosulatlan hozzáférés elutasításra kerül.</t>
  </si>
  <si>
    <t>BKC-24</t>
  </si>
  <si>
    <t>Felhasználók listázása</t>
  </si>
  <si>
    <t>Mint adminisztrátor, szeretném látni a regisztrált tesztfelhasználókat, hogy ellenőrizhessem a rendszer működését.</t>
  </si>
  <si>
    <t>A lista csak adminnak érhető el; a jelszó és a jelszóhash soha nem jelenik meg.</t>
  </si>
  <si>
    <t>BKC-25</t>
  </si>
  <si>
    <t>Játékszabályok és játékok engedélyezésének kezelése</t>
  </si>
  <si>
    <t>Admin beállítás készítése a szimulációs játékok ki- és bekapcsolására, valamint a szabályleírások frissítésére.</t>
  </si>
  <si>
    <t>Letiltott játék nem indítható; a szabálymódosítás mentése után az új leírás látható; minden művelet naplózódik.</t>
  </si>
  <si>
    <t>BKC-26</t>
  </si>
  <si>
    <t>Adminisztrációs eseménynapló</t>
  </si>
  <si>
    <t>A fontos adminműveletek és hibás hozzáférési kísérletek naplózásának megvalósítása.</t>
  </si>
  <si>
    <t>A napló tartalmazza az eseményt, időpontot és érintett rekord azonosítóját; érzékeny jelszóadat nem kerül bele.</t>
  </si>
  <si>
    <t>BKC-27</t>
  </si>
  <si>
    <t>Tesztelés, dokumentáció és bemutató</t>
  </si>
  <si>
    <t>Regisztrációs és bejelentkezési tesztek</t>
  </si>
  <si>
    <t>Sikeres és hibás felhasználói belépési esetek tesztelése.</t>
  </si>
  <si>
    <t>A regisztrációs, bejelentkezési és jogosultság-ellenőrzési alaptesztek futtathatók, az eredmények dokumentáltak.</t>
  </si>
  <si>
    <t>Tesztelő / fejlesztő</t>
  </si>
  <si>
    <t>BKC-28</t>
  </si>
  <si>
    <t>Játék- és egyenlegfolyamat tesztelése</t>
  </si>
  <si>
    <t>A tétek, eredmények, egyenlegváltozások és játékelőzmények tesztelése.</t>
  </si>
  <si>
    <t>A nulla tétet és elégtelen egyenleget a rendszer elutasítja; a megengedett körök helyes eredményt és naplóbejegyzést adnak.</t>
  </si>
  <si>
    <t>BKC-29</t>
  </si>
  <si>
    <t>Reszponzív és akadálymentes felület ellenőrzése</t>
  </si>
  <si>
    <t>A fő nézetek ellenőrzése mobilon és asztali kijelzőn, olvasható kontrasztokkal és billentyűzetes navigációval.</t>
  </si>
  <si>
    <t>A fő funkciók mobilméreten is használhatók; az űrlapok címkézettek; a fókusz jól látható; nincs levágott alapvető tartalom.</t>
  </si>
  <si>
    <t>Frontend fejlesztő + tesztelő</t>
  </si>
  <si>
    <t>BKC-30</t>
  </si>
  <si>
    <t>README, adatmodell és bemutató dokumentáció elkészítése</t>
  </si>
  <si>
    <t>A projekt céljának, technológiáinak, indításának, adatmodelljének és virtuális zsetonokra vonatkozó szabályainak dokumentálása.</t>
  </si>
  <si>
    <t>A README alapján a projekt helyben elindítható; a bemutató leírja a fő funkciókat, a korlátokat és a tesztelés módját.</t>
  </si>
  <si>
    <t>BORO KASZINÓ – TÁBLA ÉS SPRINTTERV</t>
  </si>
  <si>
    <t>Digitális tábla oszlopa</t>
  </si>
  <si>
    <t>Mikor kerül ide a kártya?</t>
  </si>
  <si>
    <t>Backlog (Ötletek)</t>
  </si>
  <si>
    <t>Minden új feladat ide kerül, amíg a csapat nem kezdi el.</t>
  </si>
  <si>
    <t>Folyamatban</t>
  </si>
  <si>
    <t>A kijelölt felelős dolgozik rajta.</t>
  </si>
  <si>
    <t>Tesztelés / Review alatt</t>
  </si>
  <si>
    <t>A fejlesztés elkészült; ellenőrzés vagy csapattársi átnézés következik.</t>
  </si>
  <si>
    <t>Kész</t>
  </si>
  <si>
    <t>Az elfogadási feltételek teljesültek, az ellenőrzés sikeres.</t>
  </si>
  <si>
    <t>Cél</t>
  </si>
  <si>
    <t>Feladatok</t>
  </si>
  <si>
    <t>1. sprint – 1–3. hét</t>
  </si>
  <si>
    <t>Működjön a projekt alapja, a fiók létrehozása/bejelentkezés, a kezdő virtuális zseton és a játékválasztó felület.</t>
  </si>
  <si>
    <t>BKC-01–BKC-07, BKC-11, BKC-16</t>
  </si>
  <si>
    <t>2. sprint – 4–6. hét</t>
  </si>
  <si>
    <t>Legyen védett API, egyenlegkezelés, naplózás, legalább két szimulációs játék, valamint alap tesztek.</t>
  </si>
  <si>
    <t>BKC-08–BKC-09, BKC-12–BKC-14, BKC-17–BKC-19, BKC-21–BKC-22, BKC-27</t>
  </si>
  <si>
    <t>3. sprint – 7–9. hét</t>
  </si>
  <si>
    <t>Készüljenek el a további játék, adminfunkciók, teljesebb tesztelés, reszponzív felület és dokumentáció.</t>
  </si>
  <si>
    <t>BKC-10, BKC-15, BKC-20, BKC-23–BKC-26, BKC-28–BKC-30</t>
  </si>
  <si>
    <t>Összes feladat</t>
  </si>
  <si>
    <t>1. sprint feladatai</t>
  </si>
  <si>
    <t>2. sprint feladatai</t>
  </si>
  <si>
    <t>3. sprint feladatai</t>
  </si>
  <si>
    <t>A rendszer csak játékbeli pontokat kezel; nincs valódi pénz és pénzügyi tranzakció.</t>
  </si>
  <si>
    <t>BORO KASZINÓ – PROJEKTLEÍRÁS</t>
  </si>
  <si>
    <t>Téma</t>
  </si>
  <si>
    <t>Boro Kaszinó – oktatási célú kaszinó-szimulátor</t>
  </si>
  <si>
    <t>Projekt célja</t>
  </si>
  <si>
    <t>Egy olyan webes alkalmazás elkészítése, amelyben a felhasználó regisztrálhat, virtuális zsetonokat kap, és egyszerű szerencsejáték-szimulációkat próbálhat ki.</t>
  </si>
  <si>
    <t>Iskolai keretezés</t>
  </si>
  <si>
    <t>A program kizárólag oktatási és demonstrációs célú. Nincs valódi pénzes befizetés, fogadás, pénznyeremény, kifizetés vagy zsetonvásárlás.</t>
  </si>
  <si>
    <t>Fő funkciók</t>
  </si>
  <si>
    <t>Regisztráció és bejelentkezés; virtuális zsetonegyenleg; játéklista és játékszabályok; rulett-, kockadobás- és magasabb/alacsonyabb szimuláció; játékelőzmények; adminisztráció; tesztelés és dokumentáció.</t>
  </si>
  <si>
    <t>Javasolt technológiák</t>
  </si>
  <si>
    <t>A backlog használata</t>
  </si>
  <si>
    <t>Megjegyzés</t>
  </si>
  <si>
    <t>Frontend: HTML,CSS,JavaScript és Angulár. Backend: Node.js + Express. Adatbázis: MySQL. A technológiákat Emán elvárásai szerint kell véglegesíteni :3</t>
  </si>
  <si>
    <t>A 30 feladatot digitális kártyaként lehet felvinni valamibe vagy Trellóba. A kártyán található az ID, a prioritás, az elfogadási feltétel, a sprint és a felelős.</t>
  </si>
  <si>
    <t>Jó napot kedves tanár úúúúúúr ^^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</si>
</sst>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6"/>
      <color rgb="FFFFFFFF"/>
      <name val="Carlito"/>
    </font>
    <font>
      <i/>
      <sz val="10"/>
      <color rgb="FF17365D"/>
      <name val="Carlito"/>
    </font>
    <font>
      <b/>
      <sz val="11"/>
      <color rgb="FFFFFFFF"/>
      <name val="Carlito"/>
    </font>
    <font>
      <b/>
      <sz val="11"/>
      <color rgb="FF17365D"/>
      <name val="Carlito"/>
    </font>
    <font>
      <b/>
      <sz val="15"/>
      <color rgb="FFFFFFFF"/>
      <name val="Carlito"/>
    </font>
    <font>
      <b/>
      <sz val="11"/>
      <name val="Carlito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305496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5">
    <xf numFmtId="0" fontId="0" fillId="0" borderId="0" xfId="0"/>
    <xf numFmtId="0" fontId="3" fillId="4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0" fillId="0" borderId="0" xfId="1" applyFont="1" applyAlignment="1">
      <alignment vertical="top" wrapText="1"/>
    </xf>
    <xf numFmtId="0" fontId="0" fillId="0" borderId="0" xfId="1" applyFont="1" applyAlignment="1">
      <alignment horizontal="center" vertical="top" wrapText="1"/>
    </xf>
    <xf numFmtId="0" fontId="4" fillId="0" borderId="0" xfId="1" applyFont="1" applyAlignment="1">
      <alignment vertical="top" wrapText="1"/>
    </xf>
    <xf numFmtId="0" fontId="3" fillId="4" borderId="0" xfId="1" applyFont="1" applyFill="1" applyAlignment="1">
      <alignment vertical="center" wrapText="1"/>
    </xf>
    <xf numFmtId="0" fontId="0" fillId="5" borderId="0" xfId="1" applyFont="1" applyFill="1" applyAlignment="1">
      <alignment vertical="center" wrapText="1"/>
    </xf>
    <xf numFmtId="0" fontId="6" fillId="5" borderId="0" xfId="1" applyFont="1" applyFill="1" applyAlignment="1">
      <alignment vertical="center" wrapText="1"/>
    </xf>
    <xf numFmtId="0" fontId="6" fillId="6" borderId="0" xfId="1" applyFont="1" applyFill="1" applyAlignment="1">
      <alignment wrapText="1"/>
    </xf>
    <xf numFmtId="0" fontId="0" fillId="6" borderId="0" xfId="1" applyFont="1" applyFill="1" applyAlignment="1">
      <alignment wrapText="1"/>
    </xf>
    <xf numFmtId="0" fontId="4" fillId="3" borderId="0" xfId="1" applyFont="1" applyFill="1" applyAlignment="1">
      <alignment vertical="top" wrapText="1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vertical="center" wrapText="1"/>
    </xf>
    <xf numFmtId="0" fontId="5" fillId="2" borderId="0" xfId="1" applyFont="1" applyFill="1" applyAlignment="1">
      <alignment horizontal="center" vertical="center"/>
    </xf>
  </cellXfs>
  <cellStyles count="2">
    <cellStyle name="Normal" xfId="1" xr:uid="{00000000-0005-0000-0000-000000000000}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oroBacklogTable" displayName="BoroBacklogTable" ref="A4:J34" totalsRowShown="0">
  <tableColumns count="10">
    <tableColumn id="1" xr3:uid="{00000000-0010-0000-0000-000001000000}" name="ID"/>
    <tableColumn id="2" xr3:uid="{00000000-0010-0000-0000-000002000000}" name="Epic / főtéma"/>
    <tableColumn id="3" xr3:uid="{00000000-0010-0000-0000-000003000000}" name="Típus"/>
    <tableColumn id="4" xr3:uid="{00000000-0010-0000-0000-000004000000}" name="Feladat / User Story"/>
    <tableColumn id="5" xr3:uid="{00000000-0010-0000-0000-000005000000}" name="Leírás"/>
    <tableColumn id="6" xr3:uid="{00000000-0010-0000-0000-000006000000}" name="Prioritás (1–10)"/>
    <tableColumn id="7" xr3:uid="{00000000-0010-0000-0000-000007000000}" name="Elfogadási feltétel"/>
    <tableColumn id="8" xr3:uid="{00000000-0010-0000-0000-000008000000}" name="Sprint"/>
    <tableColumn id="9" xr3:uid="{00000000-0010-0000-0000-000009000000}" name="Állapot"/>
    <tableColumn id="10" xr3:uid="{00000000-0010-0000-0000-00000A000000}" name="Felelő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workbookViewId="0">
      <pane ySplit="4" topLeftCell="A23" activePane="bottomLeft" state="frozen"/>
      <selection pane="bottomLeft" activeCell="A34" sqref="A34"/>
    </sheetView>
  </sheetViews>
  <sheetFormatPr defaultRowHeight="14.25"/>
  <cols>
    <col min="1" max="1" width="12" customWidth="1"/>
    <col min="2" max="2" width="31" customWidth="1"/>
    <col min="3" max="3" width="20" customWidth="1"/>
    <col min="4" max="4" width="34" customWidth="1"/>
    <col min="5" max="5" width="52" customWidth="1"/>
    <col min="6" max="6" width="15" customWidth="1"/>
    <col min="7" max="7" width="58" customWidth="1"/>
    <col min="8" max="8" width="16" customWidth="1"/>
    <col min="9" max="9" width="15" customWidth="1"/>
    <col min="10" max="10" width="24" customWidth="1"/>
  </cols>
  <sheetData>
    <row r="1" spans="1:10" ht="32.1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30" customHeight="1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</row>
    <row r="4" spans="1:10" ht="30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51.95" customHeight="1">
      <c r="A5" s="5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4">
        <v>10</v>
      </c>
      <c r="G5" s="3" t="s">
        <v>17</v>
      </c>
      <c r="H5" s="3" t="s">
        <v>18</v>
      </c>
      <c r="I5" s="3" t="s">
        <v>19</v>
      </c>
      <c r="J5" s="3" t="s">
        <v>20</v>
      </c>
    </row>
    <row r="6" spans="1:10" ht="51.95" customHeight="1">
      <c r="A6" s="5" t="s">
        <v>21</v>
      </c>
      <c r="B6" s="3" t="s">
        <v>13</v>
      </c>
      <c r="C6" s="3" t="s">
        <v>14</v>
      </c>
      <c r="D6" s="3" t="s">
        <v>22</v>
      </c>
      <c r="E6" s="3" t="s">
        <v>23</v>
      </c>
      <c r="F6" s="4">
        <v>8</v>
      </c>
      <c r="G6" s="3" t="s">
        <v>24</v>
      </c>
      <c r="H6" s="3" t="s">
        <v>18</v>
      </c>
      <c r="I6" s="3" t="s">
        <v>19</v>
      </c>
      <c r="J6" s="3" t="s">
        <v>25</v>
      </c>
    </row>
    <row r="7" spans="1:10" ht="51.95" customHeight="1">
      <c r="A7" s="5" t="s">
        <v>26</v>
      </c>
      <c r="B7" s="3" t="s">
        <v>13</v>
      </c>
      <c r="C7" s="3" t="s">
        <v>14</v>
      </c>
      <c r="D7" s="3" t="s">
        <v>27</v>
      </c>
      <c r="E7" s="3" t="s">
        <v>28</v>
      </c>
      <c r="F7" s="4">
        <v>10</v>
      </c>
      <c r="G7" s="3" t="s">
        <v>29</v>
      </c>
      <c r="H7" s="3" t="s">
        <v>18</v>
      </c>
      <c r="I7" s="3" t="s">
        <v>19</v>
      </c>
      <c r="J7" s="3" t="s">
        <v>30</v>
      </c>
    </row>
    <row r="8" spans="1:10" ht="51.95" customHeight="1">
      <c r="A8" s="5" t="s">
        <v>31</v>
      </c>
      <c r="B8" s="3" t="s">
        <v>13</v>
      </c>
      <c r="C8" s="3" t="s">
        <v>14</v>
      </c>
      <c r="D8" s="3" t="s">
        <v>32</v>
      </c>
      <c r="E8" s="3" t="s">
        <v>33</v>
      </c>
      <c r="F8" s="4">
        <v>9</v>
      </c>
      <c r="G8" s="3" t="s">
        <v>34</v>
      </c>
      <c r="H8" s="3" t="s">
        <v>18</v>
      </c>
      <c r="I8" s="3" t="s">
        <v>19</v>
      </c>
      <c r="J8" s="3" t="s">
        <v>30</v>
      </c>
    </row>
    <row r="9" spans="1:10" ht="51.95" customHeight="1">
      <c r="A9" s="5" t="s">
        <v>35</v>
      </c>
      <c r="B9" s="3" t="s">
        <v>36</v>
      </c>
      <c r="C9" s="3" t="s">
        <v>14</v>
      </c>
      <c r="D9" s="3" t="s">
        <v>37</v>
      </c>
      <c r="E9" s="3" t="s">
        <v>38</v>
      </c>
      <c r="F9" s="4">
        <v>10</v>
      </c>
      <c r="G9" s="3" t="s">
        <v>39</v>
      </c>
      <c r="H9" s="3" t="s">
        <v>18</v>
      </c>
      <c r="I9" s="3" t="s">
        <v>19</v>
      </c>
      <c r="J9" s="3" t="s">
        <v>30</v>
      </c>
    </row>
    <row r="10" spans="1:10" ht="51.95" customHeight="1">
      <c r="A10" s="5" t="s">
        <v>40</v>
      </c>
      <c r="B10" s="3" t="s">
        <v>36</v>
      </c>
      <c r="C10" s="3" t="s">
        <v>41</v>
      </c>
      <c r="D10" s="3" t="s">
        <v>42</v>
      </c>
      <c r="E10" s="3" t="s">
        <v>43</v>
      </c>
      <c r="F10" s="4">
        <v>10</v>
      </c>
      <c r="G10" s="3" t="s">
        <v>44</v>
      </c>
      <c r="H10" s="3" t="s">
        <v>18</v>
      </c>
      <c r="I10" s="3" t="s">
        <v>19</v>
      </c>
      <c r="J10" s="3" t="s">
        <v>45</v>
      </c>
    </row>
    <row r="11" spans="1:10" ht="51.95" customHeight="1">
      <c r="A11" s="5" t="s">
        <v>46</v>
      </c>
      <c r="B11" s="3" t="s">
        <v>36</v>
      </c>
      <c r="C11" s="3" t="s">
        <v>41</v>
      </c>
      <c r="D11" s="3" t="s">
        <v>47</v>
      </c>
      <c r="E11" s="3" t="s">
        <v>48</v>
      </c>
      <c r="F11" s="4">
        <v>10</v>
      </c>
      <c r="G11" s="3" t="s">
        <v>49</v>
      </c>
      <c r="H11" s="3" t="s">
        <v>18</v>
      </c>
      <c r="I11" s="3" t="s">
        <v>19</v>
      </c>
      <c r="J11" s="3" t="s">
        <v>45</v>
      </c>
    </row>
    <row r="12" spans="1:10" ht="51.95" customHeight="1">
      <c r="A12" s="5" t="s">
        <v>50</v>
      </c>
      <c r="B12" s="3" t="s">
        <v>36</v>
      </c>
      <c r="C12" s="3" t="s">
        <v>41</v>
      </c>
      <c r="D12" s="3" t="s">
        <v>51</v>
      </c>
      <c r="E12" s="3" t="s">
        <v>52</v>
      </c>
      <c r="F12" s="4">
        <v>7</v>
      </c>
      <c r="G12" s="3" t="s">
        <v>53</v>
      </c>
      <c r="H12" s="3" t="s">
        <v>54</v>
      </c>
      <c r="I12" s="3" t="s">
        <v>19</v>
      </c>
      <c r="J12" s="3" t="s">
        <v>45</v>
      </c>
    </row>
    <row r="13" spans="1:10" ht="51.95" customHeight="1">
      <c r="A13" s="5" t="s">
        <v>55</v>
      </c>
      <c r="B13" s="3" t="s">
        <v>36</v>
      </c>
      <c r="C13" s="3" t="s">
        <v>14</v>
      </c>
      <c r="D13" s="3" t="s">
        <v>56</v>
      </c>
      <c r="E13" s="3" t="s">
        <v>57</v>
      </c>
      <c r="F13" s="4">
        <v>9</v>
      </c>
      <c r="G13" s="3" t="s">
        <v>58</v>
      </c>
      <c r="H13" s="3" t="s">
        <v>54</v>
      </c>
      <c r="I13" s="3" t="s">
        <v>19</v>
      </c>
      <c r="J13" s="3" t="s">
        <v>30</v>
      </c>
    </row>
    <row r="14" spans="1:10" ht="51.95" customHeight="1">
      <c r="A14" s="5" t="s">
        <v>59</v>
      </c>
      <c r="B14" s="3" t="s">
        <v>36</v>
      </c>
      <c r="C14" s="3" t="s">
        <v>41</v>
      </c>
      <c r="D14" s="3" t="s">
        <v>60</v>
      </c>
      <c r="E14" s="3" t="s">
        <v>61</v>
      </c>
      <c r="F14" s="4">
        <v>6</v>
      </c>
      <c r="G14" s="3" t="s">
        <v>62</v>
      </c>
      <c r="H14" s="3" t="s">
        <v>54</v>
      </c>
      <c r="I14" s="3" t="s">
        <v>19</v>
      </c>
      <c r="J14" s="3" t="s">
        <v>45</v>
      </c>
    </row>
    <row r="15" spans="1:10" ht="51.95" customHeight="1">
      <c r="A15" s="5" t="s">
        <v>63</v>
      </c>
      <c r="B15" s="3" t="s">
        <v>64</v>
      </c>
      <c r="C15" s="3" t="s">
        <v>14</v>
      </c>
      <c r="D15" s="3" t="s">
        <v>65</v>
      </c>
      <c r="E15" s="3" t="s">
        <v>66</v>
      </c>
      <c r="F15" s="4">
        <v>10</v>
      </c>
      <c r="G15" s="3" t="s">
        <v>67</v>
      </c>
      <c r="H15" s="3" t="s">
        <v>18</v>
      </c>
      <c r="I15" s="3" t="s">
        <v>19</v>
      </c>
      <c r="J15" s="3" t="s">
        <v>30</v>
      </c>
    </row>
    <row r="16" spans="1:10" ht="51.95" customHeight="1">
      <c r="A16" s="5" t="s">
        <v>68</v>
      </c>
      <c r="B16" s="3" t="s">
        <v>64</v>
      </c>
      <c r="C16" s="3" t="s">
        <v>14</v>
      </c>
      <c r="D16" s="3" t="s">
        <v>69</v>
      </c>
      <c r="E16" s="3" t="s">
        <v>70</v>
      </c>
      <c r="F16" s="4">
        <v>9</v>
      </c>
      <c r="G16" s="3" t="s">
        <v>71</v>
      </c>
      <c r="H16" s="3" t="s">
        <v>54</v>
      </c>
      <c r="I16" s="3" t="s">
        <v>19</v>
      </c>
      <c r="J16" s="3" t="s">
        <v>30</v>
      </c>
    </row>
    <row r="17" spans="1:10" ht="51.95" customHeight="1">
      <c r="A17" s="5" t="s">
        <v>72</v>
      </c>
      <c r="B17" s="3" t="s">
        <v>64</v>
      </c>
      <c r="C17" s="3" t="s">
        <v>14</v>
      </c>
      <c r="D17" s="3" t="s">
        <v>73</v>
      </c>
      <c r="E17" s="3" t="s">
        <v>74</v>
      </c>
      <c r="F17" s="4">
        <v>10</v>
      </c>
      <c r="G17" s="3" t="s">
        <v>75</v>
      </c>
      <c r="H17" s="3" t="s">
        <v>54</v>
      </c>
      <c r="I17" s="3" t="s">
        <v>19</v>
      </c>
      <c r="J17" s="3" t="s">
        <v>30</v>
      </c>
    </row>
    <row r="18" spans="1:10" ht="51.95" customHeight="1">
      <c r="A18" s="5" t="s">
        <v>76</v>
      </c>
      <c r="B18" s="3" t="s">
        <v>64</v>
      </c>
      <c r="C18" s="3" t="s">
        <v>41</v>
      </c>
      <c r="D18" s="3" t="s">
        <v>77</v>
      </c>
      <c r="E18" s="3" t="s">
        <v>78</v>
      </c>
      <c r="F18" s="4">
        <v>8</v>
      </c>
      <c r="G18" s="3" t="s">
        <v>79</v>
      </c>
      <c r="H18" s="3" t="s">
        <v>54</v>
      </c>
      <c r="I18" s="3" t="s">
        <v>19</v>
      </c>
      <c r="J18" s="3" t="s">
        <v>45</v>
      </c>
    </row>
    <row r="19" spans="1:10" ht="51.95" customHeight="1">
      <c r="A19" s="5" t="s">
        <v>80</v>
      </c>
      <c r="B19" s="3" t="s">
        <v>64</v>
      </c>
      <c r="C19" s="3" t="s">
        <v>41</v>
      </c>
      <c r="D19" s="3" t="s">
        <v>81</v>
      </c>
      <c r="E19" s="3" t="s">
        <v>82</v>
      </c>
      <c r="F19" s="4">
        <v>6</v>
      </c>
      <c r="G19" s="3" t="s">
        <v>83</v>
      </c>
      <c r="H19" s="3" t="s">
        <v>84</v>
      </c>
      <c r="I19" s="3" t="s">
        <v>19</v>
      </c>
      <c r="J19" s="3" t="s">
        <v>45</v>
      </c>
    </row>
    <row r="20" spans="1:10" ht="51.95" customHeight="1">
      <c r="A20" s="5" t="s">
        <v>85</v>
      </c>
      <c r="B20" s="3" t="s">
        <v>86</v>
      </c>
      <c r="C20" s="3" t="s">
        <v>41</v>
      </c>
      <c r="D20" s="3" t="s">
        <v>87</v>
      </c>
      <c r="E20" s="3" t="s">
        <v>88</v>
      </c>
      <c r="F20" s="4">
        <v>9</v>
      </c>
      <c r="G20" s="3" t="s">
        <v>89</v>
      </c>
      <c r="H20" s="3" t="s">
        <v>18</v>
      </c>
      <c r="I20" s="3" t="s">
        <v>19</v>
      </c>
      <c r="J20" s="3" t="s">
        <v>25</v>
      </c>
    </row>
    <row r="21" spans="1:10" ht="51.95" customHeight="1">
      <c r="A21" s="5" t="s">
        <v>90</v>
      </c>
      <c r="B21" s="3" t="s">
        <v>86</v>
      </c>
      <c r="C21" s="3" t="s">
        <v>14</v>
      </c>
      <c r="D21" s="3" t="s">
        <v>91</v>
      </c>
      <c r="E21" s="3" t="s">
        <v>92</v>
      </c>
      <c r="F21" s="4">
        <v>9</v>
      </c>
      <c r="G21" s="3" t="s">
        <v>93</v>
      </c>
      <c r="H21" s="3" t="s">
        <v>54</v>
      </c>
      <c r="I21" s="3" t="s">
        <v>19</v>
      </c>
      <c r="J21" s="3" t="s">
        <v>30</v>
      </c>
    </row>
    <row r="22" spans="1:10" ht="51.95" customHeight="1">
      <c r="A22" s="5" t="s">
        <v>94</v>
      </c>
      <c r="B22" s="3" t="s">
        <v>86</v>
      </c>
      <c r="C22" s="3" t="s">
        <v>41</v>
      </c>
      <c r="D22" s="3" t="s">
        <v>95</v>
      </c>
      <c r="E22" s="3" t="s">
        <v>96</v>
      </c>
      <c r="F22" s="4">
        <v>8</v>
      </c>
      <c r="G22" s="3" t="s">
        <v>97</v>
      </c>
      <c r="H22" s="3" t="s">
        <v>54</v>
      </c>
      <c r="I22" s="3" t="s">
        <v>19</v>
      </c>
      <c r="J22" s="3" t="s">
        <v>45</v>
      </c>
    </row>
    <row r="23" spans="1:10" ht="51.95" customHeight="1">
      <c r="A23" s="5" t="s">
        <v>98</v>
      </c>
      <c r="B23" s="3" t="s">
        <v>86</v>
      </c>
      <c r="C23" s="3" t="s">
        <v>41</v>
      </c>
      <c r="D23" s="3" t="s">
        <v>99</v>
      </c>
      <c r="E23" s="3" t="s">
        <v>100</v>
      </c>
      <c r="F23" s="4">
        <v>7</v>
      </c>
      <c r="G23" s="3" t="s">
        <v>101</v>
      </c>
      <c r="H23" s="3" t="s">
        <v>54</v>
      </c>
      <c r="I23" s="3" t="s">
        <v>19</v>
      </c>
      <c r="J23" s="3" t="s">
        <v>45</v>
      </c>
    </row>
    <row r="24" spans="1:10" ht="51.95" customHeight="1">
      <c r="A24" s="5" t="s">
        <v>102</v>
      </c>
      <c r="B24" s="3" t="s">
        <v>86</v>
      </c>
      <c r="C24" s="3" t="s">
        <v>41</v>
      </c>
      <c r="D24" s="3" t="s">
        <v>103</v>
      </c>
      <c r="E24" s="3" t="s">
        <v>104</v>
      </c>
      <c r="F24" s="4">
        <v>6</v>
      </c>
      <c r="G24" s="3" t="s">
        <v>105</v>
      </c>
      <c r="H24" s="3" t="s">
        <v>84</v>
      </c>
      <c r="I24" s="3" t="s">
        <v>19</v>
      </c>
      <c r="J24" s="3" t="s">
        <v>45</v>
      </c>
    </row>
    <row r="25" spans="1:10" ht="51.95" customHeight="1">
      <c r="A25" s="5" t="s">
        <v>106</v>
      </c>
      <c r="B25" s="3" t="s">
        <v>86</v>
      </c>
      <c r="C25" s="3" t="s">
        <v>14</v>
      </c>
      <c r="D25" s="3" t="s">
        <v>107</v>
      </c>
      <c r="E25" s="3" t="s">
        <v>108</v>
      </c>
      <c r="F25" s="4">
        <v>8</v>
      </c>
      <c r="G25" s="3" t="s">
        <v>109</v>
      </c>
      <c r="H25" s="3" t="s">
        <v>54</v>
      </c>
      <c r="I25" s="3" t="s">
        <v>19</v>
      </c>
      <c r="J25" s="3" t="s">
        <v>110</v>
      </c>
    </row>
    <row r="26" spans="1:10" ht="51.95" customHeight="1">
      <c r="A26" s="5" t="s">
        <v>111</v>
      </c>
      <c r="B26" s="3" t="s">
        <v>86</v>
      </c>
      <c r="C26" s="3" t="s">
        <v>41</v>
      </c>
      <c r="D26" s="3" t="s">
        <v>112</v>
      </c>
      <c r="E26" s="3" t="s">
        <v>113</v>
      </c>
      <c r="F26" s="4">
        <v>8</v>
      </c>
      <c r="G26" s="3" t="s">
        <v>114</v>
      </c>
      <c r="H26" s="3" t="s">
        <v>54</v>
      </c>
      <c r="I26" s="3" t="s">
        <v>19</v>
      </c>
      <c r="J26" s="3" t="s">
        <v>25</v>
      </c>
    </row>
    <row r="27" spans="1:10" ht="51.95" customHeight="1">
      <c r="A27" s="5" t="s">
        <v>115</v>
      </c>
      <c r="B27" s="3" t="s">
        <v>116</v>
      </c>
      <c r="C27" s="3" t="s">
        <v>41</v>
      </c>
      <c r="D27" s="3" t="s">
        <v>117</v>
      </c>
      <c r="E27" s="3" t="s">
        <v>118</v>
      </c>
      <c r="F27" s="4">
        <v>7</v>
      </c>
      <c r="G27" s="3" t="s">
        <v>119</v>
      </c>
      <c r="H27" s="3" t="s">
        <v>84</v>
      </c>
      <c r="I27" s="3" t="s">
        <v>19</v>
      </c>
      <c r="J27" s="3" t="s">
        <v>45</v>
      </c>
    </row>
    <row r="28" spans="1:10" ht="51.95" customHeight="1">
      <c r="A28" s="5" t="s">
        <v>120</v>
      </c>
      <c r="B28" s="3" t="s">
        <v>116</v>
      </c>
      <c r="C28" s="3" t="s">
        <v>41</v>
      </c>
      <c r="D28" s="3" t="s">
        <v>121</v>
      </c>
      <c r="E28" s="3" t="s">
        <v>122</v>
      </c>
      <c r="F28" s="4">
        <v>6</v>
      </c>
      <c r="G28" s="3" t="s">
        <v>123</v>
      </c>
      <c r="H28" s="3" t="s">
        <v>84</v>
      </c>
      <c r="I28" s="3" t="s">
        <v>19</v>
      </c>
      <c r="J28" s="3" t="s">
        <v>45</v>
      </c>
    </row>
    <row r="29" spans="1:10" ht="51.95" customHeight="1">
      <c r="A29" s="5" t="s">
        <v>124</v>
      </c>
      <c r="B29" s="3" t="s">
        <v>116</v>
      </c>
      <c r="C29" s="3" t="s">
        <v>14</v>
      </c>
      <c r="D29" s="3" t="s">
        <v>125</v>
      </c>
      <c r="E29" s="3" t="s">
        <v>126</v>
      </c>
      <c r="F29" s="4">
        <v>5</v>
      </c>
      <c r="G29" s="3" t="s">
        <v>127</v>
      </c>
      <c r="H29" s="3" t="s">
        <v>84</v>
      </c>
      <c r="I29" s="3" t="s">
        <v>19</v>
      </c>
      <c r="J29" s="3" t="s">
        <v>45</v>
      </c>
    </row>
    <row r="30" spans="1:10" ht="51.95" customHeight="1">
      <c r="A30" s="5" t="s">
        <v>128</v>
      </c>
      <c r="B30" s="3" t="s">
        <v>116</v>
      </c>
      <c r="C30" s="3" t="s">
        <v>14</v>
      </c>
      <c r="D30" s="3" t="s">
        <v>129</v>
      </c>
      <c r="E30" s="3" t="s">
        <v>130</v>
      </c>
      <c r="F30" s="4">
        <v>7</v>
      </c>
      <c r="G30" s="3" t="s">
        <v>131</v>
      </c>
      <c r="H30" s="3" t="s">
        <v>84</v>
      </c>
      <c r="I30" s="3" t="s">
        <v>19</v>
      </c>
      <c r="J30" s="3" t="s">
        <v>30</v>
      </c>
    </row>
    <row r="31" spans="1:10" ht="51.95" customHeight="1">
      <c r="A31" s="5" t="s">
        <v>132</v>
      </c>
      <c r="B31" s="3" t="s">
        <v>133</v>
      </c>
      <c r="C31" s="3" t="s">
        <v>14</v>
      </c>
      <c r="D31" s="3" t="s">
        <v>134</v>
      </c>
      <c r="E31" s="3" t="s">
        <v>135</v>
      </c>
      <c r="F31" s="4">
        <v>8</v>
      </c>
      <c r="G31" s="3" t="s">
        <v>136</v>
      </c>
      <c r="H31" s="3" t="s">
        <v>54</v>
      </c>
      <c r="I31" s="3" t="s">
        <v>19</v>
      </c>
      <c r="J31" s="3" t="s">
        <v>137</v>
      </c>
    </row>
    <row r="32" spans="1:10" ht="51.95" customHeight="1">
      <c r="A32" s="5" t="s">
        <v>138</v>
      </c>
      <c r="B32" s="3" t="s">
        <v>133</v>
      </c>
      <c r="C32" s="3" t="s">
        <v>14</v>
      </c>
      <c r="D32" s="3" t="s">
        <v>139</v>
      </c>
      <c r="E32" s="3" t="s">
        <v>140</v>
      </c>
      <c r="F32" s="4">
        <v>9</v>
      </c>
      <c r="G32" s="3" t="s">
        <v>141</v>
      </c>
      <c r="H32" s="3" t="s">
        <v>84</v>
      </c>
      <c r="I32" s="3" t="s">
        <v>19</v>
      </c>
      <c r="J32" s="3" t="s">
        <v>137</v>
      </c>
    </row>
    <row r="33" spans="1:10" ht="51.95" customHeight="1">
      <c r="A33" s="5" t="s">
        <v>142</v>
      </c>
      <c r="B33" s="3" t="s">
        <v>133</v>
      </c>
      <c r="C33" s="3" t="s">
        <v>14</v>
      </c>
      <c r="D33" s="3" t="s">
        <v>143</v>
      </c>
      <c r="E33" s="3" t="s">
        <v>144</v>
      </c>
      <c r="F33" s="4">
        <v>6</v>
      </c>
      <c r="G33" s="3" t="s">
        <v>145</v>
      </c>
      <c r="H33" s="3" t="s">
        <v>84</v>
      </c>
      <c r="I33" s="3" t="s">
        <v>19</v>
      </c>
      <c r="J33" s="3" t="s">
        <v>146</v>
      </c>
    </row>
    <row r="34" spans="1:10" ht="51.95" customHeight="1">
      <c r="A34" s="5" t="s">
        <v>147</v>
      </c>
      <c r="B34" s="3" t="s">
        <v>133</v>
      </c>
      <c r="C34" s="3" t="s">
        <v>14</v>
      </c>
      <c r="D34" s="3" t="s">
        <v>148</v>
      </c>
      <c r="E34" s="3" t="s">
        <v>149</v>
      </c>
      <c r="F34" s="4">
        <v>8</v>
      </c>
      <c r="G34" s="3" t="s">
        <v>150</v>
      </c>
      <c r="H34" s="3" t="s">
        <v>84</v>
      </c>
      <c r="I34" s="3" t="s">
        <v>19</v>
      </c>
      <c r="J34" s="3" t="s">
        <v>20</v>
      </c>
    </row>
  </sheetData>
  <mergeCells count="2">
    <mergeCell ref="A1:J1"/>
    <mergeCell ref="A2:J2"/>
  </mergeCells>
  <conditionalFormatting sqref="F5:F34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dataValidations count="2">
    <dataValidation type="list" sqref="I5:I34" xr:uid="{00000000-0002-0000-0000-000000000000}">
      <formula1>"Backlog,Folyamatban,Tesztelés / Review,Kész"</formula1>
    </dataValidation>
    <dataValidation type="list" sqref="H5:H34" xr:uid="{00000000-0002-0000-0000-000001000000}">
      <formula1>"1. sprint,2. sprint,3. sprint,Későbbi / extra"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workbookViewId="0">
      <pane ySplit="3" topLeftCell="A4" activePane="bottomLeft" state="frozen"/>
      <selection pane="bottomLeft" sqref="A1:D1"/>
    </sheetView>
  </sheetViews>
  <sheetFormatPr defaultRowHeight="14.25"/>
  <cols>
    <col min="1" max="1" width="26" customWidth="1"/>
    <col min="2" max="2" width="54" customWidth="1"/>
    <col min="3" max="3" width="48" customWidth="1"/>
  </cols>
  <sheetData>
    <row r="1" spans="1:4" ht="30" customHeight="1">
      <c r="A1" s="14" t="s">
        <v>151</v>
      </c>
      <c r="B1" s="14"/>
      <c r="C1" s="14"/>
      <c r="D1" s="14"/>
    </row>
    <row r="3" spans="1:4" ht="15">
      <c r="A3" s="6" t="s">
        <v>152</v>
      </c>
      <c r="B3" s="6" t="s">
        <v>153</v>
      </c>
    </row>
    <row r="4" spans="1:4" ht="30" customHeight="1">
      <c r="A4" s="2" t="s">
        <v>154</v>
      </c>
      <c r="B4" s="2" t="s">
        <v>155</v>
      </c>
    </row>
    <row r="5" spans="1:4" ht="30" customHeight="1">
      <c r="A5" s="2" t="s">
        <v>156</v>
      </c>
      <c r="B5" s="2" t="s">
        <v>157</v>
      </c>
    </row>
    <row r="6" spans="1:4" ht="30" customHeight="1">
      <c r="A6" s="2" t="s">
        <v>158</v>
      </c>
      <c r="B6" s="2" t="s">
        <v>159</v>
      </c>
    </row>
    <row r="7" spans="1:4" ht="30" customHeight="1">
      <c r="A7" s="2" t="s">
        <v>160</v>
      </c>
      <c r="B7" s="2" t="s">
        <v>161</v>
      </c>
    </row>
    <row r="9" spans="1:4" ht="15">
      <c r="A9" s="6" t="s">
        <v>9</v>
      </c>
      <c r="B9" s="6" t="s">
        <v>162</v>
      </c>
      <c r="C9" s="6" t="s">
        <v>163</v>
      </c>
    </row>
    <row r="10" spans="1:4" ht="72" customHeight="1">
      <c r="A10" s="3" t="s">
        <v>164</v>
      </c>
      <c r="B10" s="3" t="s">
        <v>165</v>
      </c>
      <c r="C10" s="3" t="s">
        <v>166</v>
      </c>
    </row>
    <row r="11" spans="1:4" ht="72" customHeight="1">
      <c r="A11" s="3" t="s">
        <v>167</v>
      </c>
      <c r="B11" s="3" t="s">
        <v>168</v>
      </c>
      <c r="C11" s="3" t="s">
        <v>169</v>
      </c>
    </row>
    <row r="12" spans="1:4" ht="72" customHeight="1">
      <c r="A12" s="3" t="s">
        <v>170</v>
      </c>
      <c r="B12" s="3" t="s">
        <v>171</v>
      </c>
      <c r="C12" s="3" t="s">
        <v>172</v>
      </c>
    </row>
    <row r="14" spans="1:4" ht="27" customHeight="1">
      <c r="A14" s="8" t="s">
        <v>173</v>
      </c>
      <c r="B14" s="7">
        <f>COUNTA('Product Backlog'!A5:A34)</f>
        <v>30</v>
      </c>
    </row>
    <row r="15" spans="1:4" ht="27" customHeight="1">
      <c r="A15" s="8" t="s">
        <v>174</v>
      </c>
      <c r="B15" s="7">
        <f>COUNTIF('Product Backlog'!H5:H34,"1. sprint")</f>
        <v>9</v>
      </c>
    </row>
    <row r="16" spans="1:4" ht="27" customHeight="1">
      <c r="A16" s="8" t="s">
        <v>175</v>
      </c>
      <c r="B16" s="7">
        <f>COUNTIF('Product Backlog'!H5:H34,"2. sprint")</f>
        <v>12</v>
      </c>
    </row>
    <row r="17" spans="1:2" ht="27" customHeight="1">
      <c r="A17" s="8" t="s">
        <v>176</v>
      </c>
      <c r="B17" s="7">
        <f>COUNTIF('Product Backlog'!H5:H34,"3. sprint")</f>
        <v>9</v>
      </c>
    </row>
    <row r="18" spans="1:2" ht="27" customHeight="1">
      <c r="A18" s="9" t="s">
        <v>64</v>
      </c>
      <c r="B18" s="10" t="s">
        <v>177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pane ySplit="2" topLeftCell="A3" activePane="bottomLeft" state="frozen"/>
      <selection pane="bottomLeft" activeCell="B9" sqref="B9"/>
    </sheetView>
  </sheetViews>
  <sheetFormatPr defaultRowHeight="14.25"/>
  <cols>
    <col min="1" max="1" width="25" customWidth="1"/>
    <col min="2" max="2" width="105" customWidth="1"/>
  </cols>
  <sheetData>
    <row r="1" spans="1:2" ht="30" customHeight="1">
      <c r="A1" s="14" t="s">
        <v>178</v>
      </c>
      <c r="B1" s="14"/>
    </row>
    <row r="3" spans="1:2" ht="48" customHeight="1">
      <c r="A3" s="11" t="s">
        <v>179</v>
      </c>
      <c r="B3" s="2" t="s">
        <v>180</v>
      </c>
    </row>
    <row r="4" spans="1:2" ht="62.1" customHeight="1">
      <c r="A4" s="11" t="s">
        <v>181</v>
      </c>
      <c r="B4" s="2" t="s">
        <v>182</v>
      </c>
    </row>
    <row r="5" spans="1:2" ht="62.1" customHeight="1">
      <c r="A5" s="11" t="s">
        <v>183</v>
      </c>
      <c r="B5" s="2" t="s">
        <v>184</v>
      </c>
    </row>
    <row r="6" spans="1:2" ht="62.1" customHeight="1">
      <c r="A6" s="11" t="s">
        <v>185</v>
      </c>
      <c r="B6" s="2" t="s">
        <v>186</v>
      </c>
    </row>
    <row r="7" spans="1:2" ht="62.1" customHeight="1">
      <c r="A7" s="11" t="s">
        <v>187</v>
      </c>
      <c r="B7" s="2" t="s">
        <v>190</v>
      </c>
    </row>
    <row r="8" spans="1:2" ht="62.1" customHeight="1">
      <c r="A8" s="11" t="s">
        <v>188</v>
      </c>
      <c r="B8" s="2" t="s">
        <v>191</v>
      </c>
    </row>
    <row r="9" spans="1:2" ht="62.1" customHeight="1">
      <c r="A9" s="11" t="s">
        <v>189</v>
      </c>
      <c r="B9" s="2" t="s">
        <v>192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Product Backlog</vt:lpstr>
      <vt:lpstr>Tábla és sprintterv</vt:lpstr>
      <vt:lpstr>Projektleírás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Király Gergely</cp:lastModifiedBy>
  <dcterms:modified xsi:type="dcterms:W3CDTF">2026-10-22T11:11:30Z</dcterms:modified>
</cp:coreProperties>
</file>